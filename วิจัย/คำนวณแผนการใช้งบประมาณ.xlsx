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oemphol/Projects/rtafofficeapp/วิจัย/"/>
    </mc:Choice>
  </mc:AlternateContent>
  <xr:revisionPtr revIDLastSave="0" documentId="13_ncr:1_{0B5EA73B-FAF8-CB47-BF40-E108817469F1}" xr6:coauthVersionLast="47" xr6:coauthVersionMax="47" xr10:uidLastSave="{00000000-0000-0000-0000-000000000000}"/>
  <bookViews>
    <workbookView xWindow="20" yWindow="500" windowWidth="31640" windowHeight="15840" xr2:uid="{CB47B928-3148-E546-8893-EB9EB6BE70FF}"/>
  </bookViews>
  <sheets>
    <sheet name="Sheet1" sheetId="1" r:id="rId1"/>
    <sheet name="Sheet2" sheetId="2" r:id="rId2"/>
  </sheets>
  <definedNames>
    <definedName name="_xlnm.Print_Area" localSheetId="0">Sheet1!$A$1:$X$13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O4" i="1"/>
  <c r="O13" i="1" s="1"/>
  <c r="U4" i="1"/>
  <c r="U13" i="1" s="1"/>
  <c r="R4" i="1"/>
  <c r="E15" i="1"/>
  <c r="L2" i="1"/>
  <c r="O2" i="1"/>
  <c r="R2" i="1"/>
  <c r="U2" i="1"/>
  <c r="I6" i="1"/>
  <c r="J7" i="1"/>
  <c r="H7" i="1"/>
  <c r="I7" i="1"/>
  <c r="B7" i="2"/>
  <c r="B4" i="2"/>
  <c r="B3" i="2"/>
  <c r="I3" i="1"/>
  <c r="I4" i="1"/>
  <c r="H4" i="1"/>
  <c r="J4" i="1"/>
  <c r="J3" i="1"/>
  <c r="J6" i="1" s="1"/>
  <c r="H3" i="1"/>
  <c r="H6" i="1" s="1"/>
  <c r="E4" i="1"/>
  <c r="E3" i="1"/>
  <c r="X4" i="1" l="1"/>
  <c r="X13" i="1" s="1"/>
  <c r="E5" i="1"/>
  <c r="A9" i="1" s="1"/>
  <c r="L13" i="1" l="1"/>
  <c r="X2" i="1"/>
</calcChain>
</file>

<file path=xl/sharedStrings.xml><?xml version="1.0" encoding="utf-8"?>
<sst xmlns="http://schemas.openxmlformats.org/spreadsheetml/2006/main" count="20" uniqueCount="16">
  <si>
    <t>คน</t>
  </si>
  <si>
    <t>วัน</t>
  </si>
  <si>
    <t>ต่อวัน</t>
  </si>
  <si>
    <t>รวม</t>
  </si>
  <si>
    <t>วันราชการ</t>
  </si>
  <si>
    <t>วันหยุด</t>
  </si>
  <si>
    <t>คำนวณวันต่อไตรมาส ๆ ละ 90 วัน</t>
  </si>
  <si>
    <t>วันต่อเดือนที่ใช้</t>
  </si>
  <si>
    <t>จำนวนไตรมาส:</t>
  </si>
  <si>
    <t>ยอดเป้า</t>
  </si>
  <si>
    <t>procurement</t>
  </si>
  <si>
    <t>pro1</t>
  </si>
  <si>
    <t>pro2</t>
  </si>
  <si>
    <t>pro3</t>
  </si>
  <si>
    <t>ดูงาน</t>
  </si>
  <si>
    <t>วันรวมทุกไตรมาส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</si>
</sst>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D00041E]#,##0"/>
    <numFmt numFmtId="166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TH Sarabun New"/>
      <family val="2"/>
    </font>
    <font>
      <sz val="12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rgb="FFFF0000"/>
      <name val="TH Sarabun New"/>
      <family val="2"/>
    </font>
    <font>
      <sz val="14"/>
      <color theme="1"/>
      <name val="TH Sarabun New"/>
      <family val="2"/>
    </font>
    <font>
      <sz val="11"/>
      <color theme="1"/>
      <name val="TH Sarabun New"/>
      <family val="2"/>
    </font>
    <font>
      <sz val="10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65" fontId="2" fillId="0" borderId="2" xfId="0" applyNumberFormat="1" applyFont="1" applyBorder="1" applyAlignment="1">
      <alignment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4" fontId="2" fillId="0" borderId="0" xfId="1" applyNumberFormat="1" applyFont="1"/>
    <xf numFmtId="1" fontId="2" fillId="0" borderId="0" xfId="0" applyNumberFormat="1" applyFont="1"/>
    <xf numFmtId="165" fontId="2" fillId="0" borderId="3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0" fontId="2" fillId="0" borderId="0" xfId="0" applyFont="1" applyAlignment="1">
      <alignment horizontal="right"/>
    </xf>
    <xf numFmtId="165" fontId="2" fillId="0" borderId="1" xfId="0" applyNumberFormat="1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4" fillId="0" borderId="0" xfId="0" applyFont="1"/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5" fontId="4" fillId="0" borderId="0" xfId="0" applyNumberFormat="1" applyFont="1" applyAlignment="1">
      <alignment horizontal="center" vertical="center" wrapText="1"/>
    </xf>
    <xf numFmtId="1" fontId="0" fillId="0" borderId="0" xfId="0" applyNumberFormat="1"/>
    <xf numFmtId="166" fontId="2" fillId="0" borderId="0" xfId="0" applyNumberFormat="1" applyFont="1" applyAlignment="1">
      <alignment horizontal="right"/>
    </xf>
    <xf numFmtId="164" fontId="3" fillId="0" borderId="0" xfId="1" applyNumberFormat="1" applyFont="1" applyAlignment="1">
      <alignment vertical="top" wrapText="1"/>
    </xf>
    <xf numFmtId="0" fontId="7" fillId="0" borderId="0" xfId="0" applyFont="1" applyAlignment="1">
      <alignment horizontal="right"/>
    </xf>
    <xf numFmtId="164" fontId="7" fillId="0" borderId="0" xfId="1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5" fmlaLink="$C$3" max="30000" noThreeD="1" page="10" val="36"/>
</file>

<file path=xl/ctrlProps/ctrlProp2.xml><?xml version="1.0" encoding="utf-8"?>
<formControlPr xmlns="http://schemas.microsoft.com/office/spreadsheetml/2009/9/main" objectType="Spin" dx="15" fmlaLink="$C$4" max="30000" noThreeD="1" page="10" val="173"/>
</file>

<file path=xl/ctrlProps/ctrlProp3.xml><?xml version="1.0" encoding="utf-8"?>
<formControlPr xmlns="http://schemas.microsoft.com/office/spreadsheetml/2009/9/main" objectType="Spin" dx="15" fmlaLink="$A$3" max="30000" noThreeD="1" page="10" val="15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2</xdr:row>
          <xdr:rowOff>0</xdr:rowOff>
        </xdr:from>
        <xdr:to>
          <xdr:col>2</xdr:col>
          <xdr:colOff>355600</xdr:colOff>
          <xdr:row>2</xdr:row>
          <xdr:rowOff>266700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12700</xdr:colOff>
          <xdr:row>3</xdr:row>
          <xdr:rowOff>0</xdr:rowOff>
        </xdr:from>
        <xdr:to>
          <xdr:col>2</xdr:col>
          <xdr:colOff>355600</xdr:colOff>
          <xdr:row>3</xdr:row>
          <xdr:rowOff>304800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1</xdr:row>
          <xdr:rowOff>342900</xdr:rowOff>
        </xdr:from>
        <xdr:to>
          <xdr:col>0</xdr:col>
          <xdr:colOff>406400</xdr:colOff>
          <xdr:row>2</xdr:row>
          <xdr:rowOff>304800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506FF-ABB5-AF40-887B-68B98955778C}">
  <dimension ref="A1:X15"/>
  <sheetViews>
    <sheetView tabSelected="1" showWhiteSpace="0" zoomScale="130" zoomScaleNormal="130" zoomScalePageLayoutView="51" workbookViewId="0">
      <selection activeCell="D15" sqref="D15"/>
    </sheetView>
  </sheetViews>
  <sheetFormatPr baseColWidth="10" defaultColWidth="10.83203125" defaultRowHeight="18" x14ac:dyDescent="0.3"/>
  <cols>
    <col min="1" max="1" width="9.6640625" style="2" bestFit="1" customWidth="1"/>
    <col min="2" max="2" width="12.5" style="2" bestFit="1" customWidth="1"/>
    <col min="3" max="3" width="13.5" style="2" customWidth="1"/>
    <col min="4" max="4" width="7.1640625" style="2" bestFit="1" customWidth="1"/>
    <col min="5" max="5" width="14" style="2" bestFit="1" customWidth="1"/>
    <col min="6" max="6" width="0.6640625" style="2" customWidth="1"/>
    <col min="7" max="7" width="15.1640625" style="2" bestFit="1" customWidth="1"/>
    <col min="8" max="10" width="6.1640625" style="2" bestFit="1" customWidth="1"/>
    <col min="11" max="11" width="1.1640625" style="2" customWidth="1"/>
    <col min="12" max="12" width="13.5" style="2" bestFit="1" customWidth="1"/>
    <col min="13" max="14" width="2.33203125" style="2" customWidth="1"/>
    <col min="15" max="15" width="13.1640625" style="2" bestFit="1" customWidth="1"/>
    <col min="16" max="17" width="2.33203125" style="2" customWidth="1"/>
    <col min="18" max="18" width="13.1640625" style="2" bestFit="1" customWidth="1"/>
    <col min="19" max="20" width="2.33203125" style="2" customWidth="1"/>
    <col min="21" max="21" width="13.1640625" style="2" bestFit="1" customWidth="1"/>
    <col min="22" max="23" width="2.33203125" style="2" customWidth="1"/>
    <col min="24" max="24" width="13.1640625" style="2" bestFit="1" customWidth="1"/>
    <col min="25" max="16384" width="10.83203125" style="2"/>
  </cols>
  <sheetData>
    <row r="1" spans="1:24" ht="25" thickBot="1" x14ac:dyDescent="0.45">
      <c r="A1" s="1" t="s">
        <v>9</v>
      </c>
      <c r="B1" s="8">
        <v>750000</v>
      </c>
      <c r="C1" s="33" t="s">
        <v>6</v>
      </c>
      <c r="D1" s="33"/>
      <c r="E1" s="33"/>
      <c r="F1" s="33"/>
      <c r="G1" s="33"/>
      <c r="H1" s="33"/>
      <c r="I1" s="33"/>
      <c r="J1" s="33"/>
      <c r="K1" s="1"/>
    </row>
    <row r="2" spans="1:24" ht="28" customHeight="1" x14ac:dyDescent="0.4">
      <c r="A2" s="14" t="s">
        <v>0</v>
      </c>
      <c r="B2" s="1"/>
      <c r="C2" s="3" t="s">
        <v>1</v>
      </c>
      <c r="D2" s="3" t="s">
        <v>2</v>
      </c>
      <c r="E2" s="23" t="s">
        <v>3</v>
      </c>
      <c r="F2" s="3"/>
      <c r="G2" s="29" t="s">
        <v>8</v>
      </c>
      <c r="H2" s="1">
        <v>2</v>
      </c>
      <c r="I2" s="1">
        <v>3</v>
      </c>
      <c r="J2" s="1">
        <v>4</v>
      </c>
      <c r="K2" s="1"/>
      <c r="L2" s="4">
        <f>$E$5/4</f>
        <v>186450</v>
      </c>
      <c r="M2" s="5"/>
      <c r="N2" s="5"/>
      <c r="O2" s="4">
        <f>$E$5/4</f>
        <v>186450</v>
      </c>
      <c r="P2" s="5"/>
      <c r="Q2" s="6"/>
      <c r="R2" s="4">
        <f>$E$5/4</f>
        <v>186450</v>
      </c>
      <c r="S2" s="5"/>
      <c r="T2" s="6"/>
      <c r="U2" s="4">
        <f>$E$5/4</f>
        <v>186450</v>
      </c>
      <c r="V2" s="5"/>
      <c r="W2" s="6"/>
      <c r="X2" s="6">
        <f>SUM(L2:W2)</f>
        <v>745800</v>
      </c>
    </row>
    <row r="3" spans="1:24" ht="26" thickBot="1" x14ac:dyDescent="0.45">
      <c r="A3" s="22">
        <v>15</v>
      </c>
      <c r="B3" s="29" t="s">
        <v>5</v>
      </c>
      <c r="C3" s="1">
        <v>36</v>
      </c>
      <c r="D3" s="1">
        <v>420</v>
      </c>
      <c r="E3" s="23">
        <f>D3*C3*A$3</f>
        <v>226800</v>
      </c>
      <c r="F3" s="8"/>
      <c r="G3" s="30" t="s">
        <v>15</v>
      </c>
      <c r="H3" s="9">
        <f t="shared" ref="H3:J4" si="0">ROUNDUP($C3/H$2, 0)</f>
        <v>18</v>
      </c>
      <c r="I3" s="9">
        <f t="shared" si="0"/>
        <v>12</v>
      </c>
      <c r="J3" s="9">
        <f t="shared" si="0"/>
        <v>9</v>
      </c>
      <c r="K3" s="8"/>
      <c r="L3" s="10"/>
      <c r="M3" s="11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</row>
    <row r="4" spans="1:24" ht="25" x14ac:dyDescent="0.4">
      <c r="B4" s="29" t="s">
        <v>4</v>
      </c>
      <c r="C4" s="1">
        <v>173</v>
      </c>
      <c r="D4" s="1">
        <v>200</v>
      </c>
      <c r="E4" s="23">
        <f>D4*C4*A$3</f>
        <v>519000</v>
      </c>
      <c r="F4" s="8"/>
      <c r="G4" s="8"/>
      <c r="H4" s="9">
        <f t="shared" si="0"/>
        <v>87</v>
      </c>
      <c r="I4" s="9">
        <f t="shared" si="0"/>
        <v>58</v>
      </c>
      <c r="J4" s="9">
        <f t="shared" si="0"/>
        <v>44</v>
      </c>
      <c r="K4" s="8"/>
      <c r="L4" s="10"/>
      <c r="M4" s="12"/>
      <c r="N4" s="11"/>
      <c r="O4" s="12">
        <f>$E$14/3</f>
        <v>83333.333333333328</v>
      </c>
      <c r="P4" s="12"/>
      <c r="Q4" s="12"/>
      <c r="R4" s="12">
        <f>$E$14/3</f>
        <v>83333.333333333328</v>
      </c>
      <c r="S4" s="12"/>
      <c r="T4" s="12"/>
      <c r="U4" s="12">
        <f>$E$14/3</f>
        <v>83333.333333333328</v>
      </c>
      <c r="V4" s="12"/>
      <c r="W4" s="12"/>
      <c r="X4" s="6">
        <f>SUM(L4:W4)</f>
        <v>250000</v>
      </c>
    </row>
    <row r="5" spans="1:24" ht="25" x14ac:dyDescent="0.4">
      <c r="A5" s="1"/>
      <c r="B5" s="1"/>
      <c r="C5" s="1"/>
      <c r="D5" s="1" t="s">
        <v>3</v>
      </c>
      <c r="E5" s="25">
        <f>SUM(E3:E4)</f>
        <v>745800</v>
      </c>
      <c r="F5" s="1"/>
      <c r="G5" s="32" t="s">
        <v>7</v>
      </c>
      <c r="H5" s="32"/>
      <c r="I5" s="32"/>
      <c r="J5" s="32"/>
      <c r="K5" s="1"/>
      <c r="L5" s="10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3"/>
    </row>
    <row r="6" spans="1:24" ht="24" x14ac:dyDescent="0.4">
      <c r="A6" s="1"/>
      <c r="B6" s="1"/>
      <c r="F6" s="1"/>
      <c r="G6" s="31" t="s">
        <v>5</v>
      </c>
      <c r="H6" s="27">
        <f t="shared" ref="H6:J6" si="1">ROUNDUP(H3/(H$2*3), 0)</f>
        <v>3</v>
      </c>
      <c r="I6" s="27">
        <f>ROUNDUP(I3/(I$2*3), 0)</f>
        <v>2</v>
      </c>
      <c r="J6" s="27">
        <f t="shared" si="1"/>
        <v>1</v>
      </c>
      <c r="K6" s="1"/>
      <c r="L6" s="10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3"/>
    </row>
    <row r="7" spans="1:24" ht="24" x14ac:dyDescent="0.4">
      <c r="A7" s="1"/>
      <c r="B7" s="1"/>
      <c r="C7" s="1"/>
      <c r="D7" s="1"/>
      <c r="E7" s="1"/>
      <c r="F7" s="1"/>
      <c r="G7" s="31" t="s">
        <v>4</v>
      </c>
      <c r="H7" s="27">
        <f>ROUNDUP(C4/(H$2*3), 0)</f>
        <v>29</v>
      </c>
      <c r="I7" s="27">
        <f>ROUNDUP(C4/(I$2*3), 0)</f>
        <v>20</v>
      </c>
      <c r="J7" s="27">
        <f>ROUNDUP(C4/(J$2*3), 0)</f>
        <v>15</v>
      </c>
      <c r="K7" s="1"/>
      <c r="L7" s="10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3"/>
    </row>
    <row r="8" spans="1:24" ht="6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0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</row>
    <row r="9" spans="1:24" ht="24" customHeight="1" x14ac:dyDescent="0.3">
      <c r="A9" s="34" t="str">
        <f>CONCATENATE("ยอดจัด ", TEXT(E5,"#,##0_);(#,##0)"), " บาท ถ้าใช้คนจำนวน ",A3, " คน ", B3, " ", C3, " วัน ",B4, " ", C4, " วัน แยกคิดเปรียบเทียบ", CHAR(10),,H2, " ไตรมาส ใช้",B3, " ", H3, " วัน ",B4, " ", H4, " วัน ",G5, " ",G6," ", H6, " วัน ",G7," ", H7, " วัน ", CHAR(10),I2, " ไตรมาส ใช้",B3, " ", I3, " วัน ",B4, " ", I4, " วัน ",G5, " ", G6, " ", I6, " วัน ",G7, " ", I7, " วัน ", CHAR(10),J2, " ไตรมาส ใช้",B3, " ", J3, " วัน ",B4, " ", J4, " วัน ",G5, " ", G6, " ", J6, " วัน ",G7, " ", J7, " วัน ")</f>
        <v xml:space="preserve">ยอดจัด 745,800  บาท ถ้าใช้คนจำนวน 15 คน วันหยุด 36 วัน วันราชการ 173 วัน แยกคิดเปรียบเทียบ
2 ไตรมาส ใช้วันหยุด 18 วัน วันราชการ 87 วัน วันต่อเดือนที่ใช้ วันหยุด 3 วัน วันราชการ 29 วัน 
3 ไตรมาส ใช้วันหยุด 12 วัน วันราชการ 58 วัน วันต่อเดือนที่ใช้ วันหยุด 2 วัน วันราชการ 20 วัน 
4 ไตรมาส ใช้วันหยุด 9 วัน วันราชการ 44 วัน วันต่อเดือนที่ใช้ วันหยุด 1 วัน วันราชการ 15 วัน </v>
      </c>
      <c r="B9" s="34"/>
      <c r="C9" s="34"/>
      <c r="D9" s="34"/>
      <c r="E9" s="34"/>
      <c r="F9" s="34"/>
      <c r="G9" s="34"/>
      <c r="H9" s="34"/>
      <c r="I9" s="34"/>
      <c r="J9" s="34"/>
      <c r="L9" s="10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/>
    </row>
    <row r="10" spans="1:24" ht="24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L10" s="10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</row>
    <row r="11" spans="1:24" ht="25" thickBot="1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  <c r="L11" s="10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3"/>
    </row>
    <row r="12" spans="1:24" ht="25" thickBot="1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L12" s="15"/>
      <c r="M12" s="16"/>
      <c r="N12" s="16"/>
      <c r="O12" s="17"/>
      <c r="P12" s="16"/>
      <c r="Q12" s="16"/>
      <c r="R12" s="17"/>
      <c r="S12" s="17"/>
      <c r="T12" s="17"/>
      <c r="U12" s="17"/>
      <c r="V12" s="17"/>
      <c r="W12" s="17"/>
      <c r="X12" s="17"/>
    </row>
    <row r="13" spans="1:24" ht="41" customHeight="1" thickBot="1" x14ac:dyDescent="0.35">
      <c r="A13" s="24"/>
      <c r="B13" s="24"/>
      <c r="C13" s="24"/>
      <c r="F13" s="24"/>
      <c r="G13" s="24"/>
      <c r="H13" s="24"/>
      <c r="I13" s="24"/>
      <c r="J13" s="24"/>
      <c r="L13" s="7">
        <f>L2+L12</f>
        <v>186450</v>
      </c>
      <c r="M13" s="18"/>
      <c r="N13" s="19"/>
      <c r="O13" s="20">
        <f>SUM(O2:O12)</f>
        <v>269783.33333333331</v>
      </c>
      <c r="P13" s="19"/>
      <c r="Q13" s="21"/>
      <c r="R13" s="20">
        <f>SUM(R2:R12)</f>
        <v>269783.33333333331</v>
      </c>
      <c r="S13" s="20"/>
      <c r="T13" s="20"/>
      <c r="U13" s="20">
        <f>SUM(U2:U12)</f>
        <v>269783.33333333331</v>
      </c>
      <c r="V13" s="20"/>
      <c r="W13" s="20"/>
      <c r="X13" s="20">
        <f>SUM(X2:X10)</f>
        <v>995800</v>
      </c>
    </row>
    <row r="14" spans="1:24" ht="24" x14ac:dyDescent="0.4">
      <c r="C14" s="1"/>
      <c r="D14" s="24" t="s">
        <v>14</v>
      </c>
      <c r="E14" s="28">
        <v>250000</v>
      </c>
    </row>
    <row r="15" spans="1:24" ht="25" x14ac:dyDescent="0.4">
      <c r="D15" s="1" t="s">
        <v>3</v>
      </c>
      <c r="E15" s="23">
        <f>SUM(E14,B1)</f>
        <v>1000000</v>
      </c>
    </row>
  </sheetData>
  <mergeCells count="3">
    <mergeCell ref="G5:J5"/>
    <mergeCell ref="C1:J1"/>
    <mergeCell ref="A9:J11"/>
  </mergeCells>
  <pageMargins left="0.7" right="0.7" top="0.75" bottom="0.75" header="0.3" footer="0.3"/>
  <pageSetup paperSize="9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2</xdr:col>
                    <xdr:colOff>25400</xdr:colOff>
                    <xdr:row>2</xdr:row>
                    <xdr:rowOff>0</xdr:rowOff>
                  </from>
                  <to>
                    <xdr:col>2</xdr:col>
                    <xdr:colOff>355600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pinner 3">
              <controlPr defaultSize="0" autoPict="0">
                <anchor moveWithCells="1" sizeWithCells="1">
                  <from>
                    <xdr:col>2</xdr:col>
                    <xdr:colOff>12700</xdr:colOff>
                    <xdr:row>3</xdr:row>
                    <xdr:rowOff>0</xdr:rowOff>
                  </from>
                  <to>
                    <xdr:col>2</xdr:col>
                    <xdr:colOff>355600</xdr:colOff>
                    <xdr:row>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Spinner 4">
              <controlPr defaultSize="0" autoPict="0">
                <anchor moveWithCells="1" sizeWithCells="1">
                  <from>
                    <xdr:col>0</xdr:col>
                    <xdr:colOff>25400</xdr:colOff>
                    <xdr:row>1</xdr:row>
                    <xdr:rowOff>342900</xdr:rowOff>
                  </from>
                  <to>
                    <xdr:col>0</xdr:col>
                    <xdr:colOff>406400</xdr:colOff>
                    <xdr:row>2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476C-668F-C946-B836-3EC0868318AC}">
  <dimension ref="A2:B7"/>
  <sheetViews>
    <sheetView workbookViewId="0">
      <selection activeCell="F8" sqref="F8"/>
    </sheetView>
  </sheetViews>
  <sheetFormatPr baseColWidth="10" defaultColWidth="11" defaultRowHeight="16" x14ac:dyDescent="0.2"/>
  <sheetData>
    <row r="2" spans="1:2" x14ac:dyDescent="0.2">
      <c r="B2">
        <v>880000</v>
      </c>
    </row>
    <row r="3" spans="1:2" x14ac:dyDescent="0.2">
      <c r="A3" t="s">
        <v>10</v>
      </c>
      <c r="B3">
        <f>B2*0.3</f>
        <v>264000</v>
      </c>
    </row>
    <row r="4" spans="1:2" x14ac:dyDescent="0.2">
      <c r="B4">
        <f>B2-B3</f>
        <v>616000</v>
      </c>
    </row>
    <row r="5" spans="1:2" x14ac:dyDescent="0.2">
      <c r="A5" t="s">
        <v>11</v>
      </c>
      <c r="B5" s="26">
        <v>300000</v>
      </c>
    </row>
    <row r="6" spans="1:2" x14ac:dyDescent="0.2">
      <c r="A6" t="s">
        <v>12</v>
      </c>
      <c r="B6" s="26">
        <v>100000</v>
      </c>
    </row>
    <row r="7" spans="1:2" x14ac:dyDescent="0.2">
      <c r="A7" t="s">
        <v>13</v>
      </c>
      <c r="B7" s="26">
        <f>B4-B5-B6</f>
        <v>216000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น.ท.เฉลิมพล ปรีดารัตน์</dc:creator>
  <cp:lastModifiedBy>เฉลิมพล ปรีดารัตน์</cp:lastModifiedBy>
  <cp:lastPrinted>2023-10-31T02:06:05Z</cp:lastPrinted>
  <dcterms:created xsi:type="dcterms:W3CDTF">2022-09-13T03:26:57Z</dcterms:created>
  <dcterms:modified xsi:type="dcterms:W3CDTF">2023-11-06T07:26:40Z</dcterms:modified>
</cp:coreProperties>
</file>